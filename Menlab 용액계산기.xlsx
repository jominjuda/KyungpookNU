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G\Desktop\"/>
    </mc:Choice>
  </mc:AlternateContent>
  <xr:revisionPtr revIDLastSave="0" documentId="8_{BD30808F-F0CD-4A9C-A6A6-DE4D83C78780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Zn, In, Ga" sheetId="1" r:id="rId1"/>
    <sheet name="Y, In, Ga" sheetId="4" r:id="rId2"/>
    <sheet name="Ga, Hf, Al" sheetId="5" r:id="rId3"/>
    <sheet name="La, Hf, Al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3" i="6" l="1"/>
  <c r="C23" i="6"/>
  <c r="H21" i="6"/>
  <c r="I21" i="6" s="1"/>
  <c r="G21" i="6"/>
  <c r="F21" i="6"/>
  <c r="F20" i="6"/>
  <c r="H20" i="6" s="1"/>
  <c r="I20" i="6" s="1"/>
  <c r="H19" i="6"/>
  <c r="I19" i="6" s="1"/>
  <c r="F19" i="6"/>
  <c r="K3" i="6"/>
  <c r="E23" i="5"/>
  <c r="C23" i="5"/>
  <c r="F21" i="5"/>
  <c r="H21" i="5" s="1"/>
  <c r="I21" i="5" s="1"/>
  <c r="F20" i="5"/>
  <c r="H20" i="5" s="1"/>
  <c r="I20" i="5" s="1"/>
  <c r="F19" i="5"/>
  <c r="H19" i="5" s="1"/>
  <c r="I19" i="5" s="1"/>
  <c r="K3" i="5"/>
  <c r="E23" i="4"/>
  <c r="F21" i="4"/>
  <c r="C23" i="4"/>
  <c r="F19" i="4"/>
  <c r="G19" i="4" s="1"/>
  <c r="K3" i="4"/>
  <c r="G20" i="6" l="1"/>
  <c r="G19" i="5"/>
  <c r="G20" i="5"/>
  <c r="G21" i="5"/>
  <c r="H21" i="4"/>
  <c r="I21" i="4" s="1"/>
  <c r="G21" i="4"/>
  <c r="H19" i="4"/>
  <c r="I19" i="4" s="1"/>
  <c r="F20" i="4"/>
  <c r="E23" i="1"/>
  <c r="C23" i="1"/>
  <c r="G20" i="4" l="1"/>
  <c r="H20" i="4"/>
  <c r="I20" i="4" s="1"/>
  <c r="K3" i="1"/>
  <c r="F19" i="1" l="1"/>
  <c r="G19" i="1" l="1"/>
  <c r="H19" i="1"/>
  <c r="I19" i="1" s="1"/>
  <c r="F20" i="1" l="1"/>
  <c r="G20" i="1" s="1"/>
  <c r="F21" i="1"/>
  <c r="H21" i="1" l="1"/>
  <c r="I21" i="1" s="1"/>
  <c r="G21" i="1" l="1"/>
  <c r="H20" i="1"/>
  <c r="I20" i="1" s="1"/>
</calcChain>
</file>

<file path=xl/sharedStrings.xml><?xml version="1.0" encoding="utf-8"?>
<sst xmlns="http://schemas.openxmlformats.org/spreadsheetml/2006/main" count="190" uniqueCount="46">
  <si>
    <t>In</t>
  </si>
  <si>
    <t>Ga</t>
  </si>
  <si>
    <t>Zn</t>
  </si>
  <si>
    <t>mol수</t>
  </si>
  <si>
    <t>용질분자량(g/mol)</t>
  </si>
  <si>
    <t>용매(L)</t>
  </si>
  <si>
    <t>몰랄비</t>
  </si>
  <si>
    <t>2-ME</t>
  </si>
  <si>
    <t>몰농도(논문)</t>
  </si>
  <si>
    <t>밀도=질량/부피</t>
  </si>
  <si>
    <t>5g일때 ml</t>
  </si>
  <si>
    <t>*아보가드로</t>
  </si>
  <si>
    <t>material</t>
  </si>
  <si>
    <t>밀도</t>
  </si>
  <si>
    <t>&lt;- total M</t>
    <phoneticPr fontId="1" type="noConversion"/>
  </si>
  <si>
    <t>&lt;- 용매 g 환산</t>
    <phoneticPr fontId="1" type="noConversion"/>
  </si>
  <si>
    <t>mg 기준</t>
    <phoneticPr fontId="1" type="noConversion"/>
  </si>
  <si>
    <t>0.3M 기준, 용매는 12ml -&gt; 11.58 g (In:Zn:Ga, 5:1:2)
&lt;참고논문&gt;
1) 0.3M - Improvement in Negative Bias Stress Stability of Solution-Processed Amorphous In−Ga−Zn−O Thin-Film Transistors Using Hydrogen Peroxide
2) g 비교 - Sol−Gel Solution-Deposited InGaZnO Thin Film Transistors</t>
    <phoneticPr fontId="1" type="noConversion"/>
  </si>
  <si>
    <t>질량 (g)</t>
    <phoneticPr fontId="1" type="noConversion"/>
  </si>
  <si>
    <t>=(몰농도)*(비율)</t>
    <phoneticPr fontId="1" type="noConversion"/>
  </si>
  <si>
    <t>240920 update</t>
    <phoneticPr fontId="1" type="noConversion"/>
  </si>
  <si>
    <t>1. 2-ME는 11.58 g 고정으로 넣기</t>
    <phoneticPr fontId="1" type="noConversion"/>
  </si>
  <si>
    <t>2. 몰농도는 0.3M 기준은 아니고 본인이 원하는대로 바꾸면 됨</t>
    <phoneticPr fontId="1" type="noConversion"/>
  </si>
  <si>
    <t>Zn</t>
    <phoneticPr fontId="1" type="noConversion"/>
  </si>
  <si>
    <t>예시: 0.25M In:Ga:Zn = 6:3:1 일때,</t>
    <phoneticPr fontId="1" type="noConversion"/>
  </si>
  <si>
    <t>=0.25*(1/10)</t>
    <phoneticPr fontId="1" type="noConversion"/>
  </si>
  <si>
    <t>In</t>
    <phoneticPr fontId="1" type="noConversion"/>
  </si>
  <si>
    <t>Ga</t>
    <phoneticPr fontId="1" type="noConversion"/>
  </si>
  <si>
    <t>=0.25*(3/10)</t>
    <phoneticPr fontId="1" type="noConversion"/>
  </si>
  <si>
    <t>=0.25*(6/10)</t>
    <phoneticPr fontId="1" type="noConversion"/>
  </si>
  <si>
    <t>수식</t>
    <phoneticPr fontId="1" type="noConversion"/>
  </si>
  <si>
    <t>3. In,Ga,Zn가 아니더라도 Al, Hf를 쓴다면 그에맞는 용질분자량을 기입하기</t>
    <phoneticPr fontId="1" type="noConversion"/>
  </si>
  <si>
    <t>용질분자량은 시그마알드리치 참고</t>
    <phoneticPr fontId="1" type="noConversion"/>
  </si>
  <si>
    <t>https://www.sigmaaldrich.com/KR/ko/search/aluminum-nitrate-nonahydrate?focus=products&amp;page=1&amp;perpage=30&amp;sort=relevance&amp;term=Aluminum%20nitrate%20nonahydrate&amp;type=product</t>
  </si>
  <si>
    <t>예시: 0.1M InOx 일때,</t>
    <phoneticPr fontId="1" type="noConversion"/>
  </si>
  <si>
    <t>=0</t>
    <phoneticPr fontId="1" type="noConversion"/>
  </si>
  <si>
    <t>=0.1</t>
    <phoneticPr fontId="1" type="noConversion"/>
  </si>
  <si>
    <t>(ex. Aluminum Nitrate Nonahydrate 의 Molecular Weight = 375.13)</t>
    <phoneticPr fontId="1" type="noConversion"/>
  </si>
  <si>
    <t>Yttrium은 346.98 weight</t>
    <phoneticPr fontId="1" type="noConversion"/>
  </si>
  <si>
    <t>Y</t>
    <phoneticPr fontId="1" type="noConversion"/>
  </si>
  <si>
    <t>Al</t>
    <phoneticPr fontId="1" type="noConversion"/>
  </si>
  <si>
    <t>https://www.sigmaaldrich.com/KR/ko/search/aluminum-nitrate-nonahydrate?focus=products&amp;page=1&amp;perpage=30&amp;sort=relevance&amp;term=Aluminum%20nitrate%20nonahydrate&amp;type=product</t>
    <phoneticPr fontId="1" type="noConversion"/>
  </si>
  <si>
    <t>Hf</t>
    <phoneticPr fontId="1" type="noConversion"/>
  </si>
  <si>
    <t>La</t>
    <phoneticPr fontId="1" type="noConversion"/>
  </si>
  <si>
    <t>In 0.04M</t>
    <phoneticPr fontId="1" type="noConversion"/>
  </si>
  <si>
    <t>144.3984mg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</si>
</sst>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0" tint="-0.249977111117893"/>
      <name val="맑은 고딕"/>
      <family val="2"/>
      <charset val="129"/>
      <scheme val="minor"/>
    </font>
    <font>
      <sz val="11"/>
      <color theme="0" tint="-0.249977111117893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/>
    <xf numFmtId="0" fontId="0" fillId="0" borderId="0" xfId="0" applyAlignment="1">
      <alignment horizontal="right"/>
    </xf>
    <xf numFmtId="0" fontId="0" fillId="0" borderId="9" xfId="0" applyBorder="1"/>
    <xf numFmtId="0" fontId="0" fillId="0" borderId="10" xfId="0" applyBorder="1"/>
    <xf numFmtId="0" fontId="2" fillId="0" borderId="11" xfId="0" applyFont="1" applyBorder="1"/>
    <xf numFmtId="0" fontId="0" fillId="3" borderId="0" xfId="0" applyFill="1"/>
    <xf numFmtId="0" fontId="0" fillId="4" borderId="0" xfId="0" applyFill="1"/>
    <xf numFmtId="0" fontId="0" fillId="5" borderId="7" xfId="0" applyFill="1" applyBorder="1"/>
    <xf numFmtId="0" fontId="0" fillId="5" borderId="0" xfId="0" applyFill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2" fillId="0" borderId="0" xfId="0" applyFont="1"/>
    <xf numFmtId="0" fontId="0" fillId="0" borderId="12" xfId="0" applyBorder="1" applyAlignment="1">
      <alignment horizontal="center"/>
    </xf>
    <xf numFmtId="0" fontId="0" fillId="0" borderId="13" xfId="0" quotePrefix="1" applyBorder="1"/>
    <xf numFmtId="0" fontId="0" fillId="0" borderId="14" xfId="0" applyBorder="1" applyAlignment="1">
      <alignment horizontal="center"/>
    </xf>
    <xf numFmtId="0" fontId="0" fillId="0" borderId="15" xfId="0" quotePrefix="1" applyBorder="1"/>
    <xf numFmtId="0" fontId="5" fillId="0" borderId="0" xfId="0" applyFont="1"/>
    <xf numFmtId="0" fontId="6" fillId="0" borderId="0" xfId="1"/>
    <xf numFmtId="0" fontId="3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sigmaaldrich.com/KR/ko/search/aluminum-nitrate-nonahydrate?focus=products&amp;page=1&amp;perpage=30&amp;sort=relevance&amp;term=Aluminum%20nitrate%20nonahydrate&amp;type=product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sigmaaldrich.com/KR/ko/search/aluminum-nitrate-nonahydrate?focus=products&amp;page=1&amp;perpage=30&amp;sort=relevance&amp;term=Aluminum%20nitrate%20nonahydrate&amp;type=produ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5"/>
  <sheetViews>
    <sheetView zoomScale="130" zoomScaleNormal="130" workbookViewId="0">
      <selection activeCell="K11" sqref="K11"/>
    </sheetView>
  </sheetViews>
  <sheetFormatPr defaultRowHeight="16.5" x14ac:dyDescent="0.3"/>
  <cols>
    <col min="2" max="2" width="19.25" customWidth="1"/>
    <col min="3" max="3" width="16.875" customWidth="1"/>
    <col min="4" max="4" width="19.75" customWidth="1"/>
    <col min="5" max="5" width="11.875" customWidth="1"/>
    <col min="6" max="6" width="15.375" customWidth="1"/>
    <col min="7" max="7" width="11.25" customWidth="1"/>
    <col min="8" max="8" width="17.125" customWidth="1"/>
    <col min="9" max="9" width="20" customWidth="1"/>
    <col min="12" max="12" width="14.25" customWidth="1"/>
    <col min="13" max="13" width="14.125" customWidth="1"/>
  </cols>
  <sheetData>
    <row r="1" spans="2:11" x14ac:dyDescent="0.3">
      <c r="I1" s="15" t="s">
        <v>9</v>
      </c>
      <c r="J1" s="16" t="s">
        <v>12</v>
      </c>
      <c r="K1" s="16" t="s">
        <v>13</v>
      </c>
    </row>
    <row r="2" spans="2:11" x14ac:dyDescent="0.3">
      <c r="I2" s="16"/>
      <c r="J2" s="16" t="s">
        <v>7</v>
      </c>
      <c r="K2" s="16">
        <v>0.96499999999999997</v>
      </c>
    </row>
    <row r="3" spans="2:11" x14ac:dyDescent="0.3">
      <c r="I3" s="16"/>
      <c r="J3" s="16" t="s">
        <v>10</v>
      </c>
      <c r="K3" s="16">
        <f>5/0.96</f>
        <v>5.2083333333333339</v>
      </c>
    </row>
    <row r="4" spans="2:11" x14ac:dyDescent="0.3">
      <c r="B4" s="17" t="s">
        <v>20</v>
      </c>
      <c r="C4" s="17"/>
      <c r="D4" s="17"/>
    </row>
    <row r="5" spans="2:11" x14ac:dyDescent="0.3">
      <c r="B5" s="17" t="s">
        <v>21</v>
      </c>
      <c r="C5" s="17"/>
      <c r="D5" s="17"/>
    </row>
    <row r="6" spans="2:11" x14ac:dyDescent="0.3">
      <c r="B6" s="17" t="s">
        <v>22</v>
      </c>
      <c r="C6" s="17"/>
      <c r="D6" s="17"/>
    </row>
    <row r="7" spans="2:11" x14ac:dyDescent="0.3">
      <c r="B7" s="17" t="s">
        <v>31</v>
      </c>
      <c r="C7" s="17"/>
      <c r="D7" s="17"/>
    </row>
    <row r="8" spans="2:11" ht="17.25" thickBot="1" x14ac:dyDescent="0.35"/>
    <row r="9" spans="2:11" ht="16.5" customHeight="1" x14ac:dyDescent="0.3">
      <c r="B9" s="24" t="s">
        <v>17</v>
      </c>
      <c r="C9" s="25"/>
      <c r="D9" s="25"/>
      <c r="E9" s="25"/>
      <c r="F9" s="26"/>
      <c r="J9" t="s">
        <v>44</v>
      </c>
      <c r="K9" t="s">
        <v>45</v>
      </c>
    </row>
    <row r="10" spans="2:11" x14ac:dyDescent="0.3">
      <c r="B10" s="27"/>
      <c r="C10" s="28"/>
      <c r="D10" s="28"/>
      <c r="E10" s="28"/>
      <c r="F10" s="29"/>
    </row>
    <row r="11" spans="2:11" x14ac:dyDescent="0.3">
      <c r="B11" s="27"/>
      <c r="C11" s="28"/>
      <c r="D11" s="28"/>
      <c r="E11" s="28"/>
      <c r="F11" s="29"/>
    </row>
    <row r="12" spans="2:11" x14ac:dyDescent="0.3">
      <c r="B12" s="27"/>
      <c r="C12" s="28"/>
      <c r="D12" s="28"/>
      <c r="E12" s="28"/>
      <c r="F12" s="29"/>
    </row>
    <row r="13" spans="2:11" ht="17.25" thickBot="1" x14ac:dyDescent="0.35">
      <c r="B13" s="30"/>
      <c r="C13" s="31"/>
      <c r="D13" s="31"/>
      <c r="E13" s="31"/>
      <c r="F13" s="32"/>
    </row>
    <row r="17" spans="1:9" ht="17.25" thickBot="1" x14ac:dyDescent="0.35">
      <c r="C17" s="14" t="s">
        <v>19</v>
      </c>
      <c r="F17" t="s">
        <v>11</v>
      </c>
    </row>
    <row r="18" spans="1:9" ht="17.25" thickBot="1" x14ac:dyDescent="0.35">
      <c r="A18" s="7"/>
      <c r="B18" s="8"/>
      <c r="C18" s="8" t="s">
        <v>8</v>
      </c>
      <c r="D18" s="8" t="s">
        <v>4</v>
      </c>
      <c r="E18" s="8" t="s">
        <v>5</v>
      </c>
      <c r="F18" s="8" t="s">
        <v>3</v>
      </c>
      <c r="G18" s="8" t="s">
        <v>6</v>
      </c>
      <c r="H18" s="9" t="s">
        <v>18</v>
      </c>
      <c r="I18" s="6" t="s">
        <v>16</v>
      </c>
    </row>
    <row r="19" spans="1:9" x14ac:dyDescent="0.3">
      <c r="A19" s="1" t="s">
        <v>2</v>
      </c>
      <c r="C19">
        <v>0</v>
      </c>
      <c r="D19">
        <v>189.4</v>
      </c>
      <c r="F19">
        <f>($E$22*C19)</f>
        <v>0</v>
      </c>
      <c r="G19" s="10" t="e">
        <f>F19/$F$19</f>
        <v>#DIV/0!</v>
      </c>
      <c r="H19" s="5">
        <f>D19*F19</f>
        <v>0</v>
      </c>
      <c r="I19">
        <f>H19*1000</f>
        <v>0</v>
      </c>
    </row>
    <row r="20" spans="1:9" x14ac:dyDescent="0.3">
      <c r="A20" s="1" t="s">
        <v>0</v>
      </c>
      <c r="C20">
        <v>0.04</v>
      </c>
      <c r="D20">
        <v>300.83</v>
      </c>
      <c r="F20">
        <f t="shared" ref="F20:F21" si="0">($E$22*C20)</f>
        <v>4.8000000000000001E-4</v>
      </c>
      <c r="G20" s="10" t="e">
        <f>F20/$F$19</f>
        <v>#DIV/0!</v>
      </c>
      <c r="H20" s="5">
        <f t="shared" ref="H20:H21" si="1">D20*F20</f>
        <v>0.14439839999999998</v>
      </c>
      <c r="I20">
        <f t="shared" ref="I20:I21" si="2">H20*1000</f>
        <v>144.39839999999998</v>
      </c>
    </row>
    <row r="21" spans="1:9" x14ac:dyDescent="0.3">
      <c r="A21" s="1" t="s">
        <v>1</v>
      </c>
      <c r="C21">
        <v>0</v>
      </c>
      <c r="D21">
        <v>255.74</v>
      </c>
      <c r="F21">
        <f t="shared" si="0"/>
        <v>0</v>
      </c>
      <c r="G21" s="10" t="e">
        <f>F21/$F$19</f>
        <v>#DIV/0!</v>
      </c>
      <c r="H21" s="5">
        <f t="shared" si="1"/>
        <v>0</v>
      </c>
      <c r="I21">
        <f t="shared" si="2"/>
        <v>0</v>
      </c>
    </row>
    <row r="22" spans="1:9" ht="17.25" thickBot="1" x14ac:dyDescent="0.35">
      <c r="A22" s="2" t="s">
        <v>7</v>
      </c>
      <c r="B22" s="3"/>
      <c r="C22" s="3"/>
      <c r="D22" s="3"/>
      <c r="E22" s="12">
        <v>1.2E-2</v>
      </c>
      <c r="F22" s="3"/>
      <c r="G22" s="3"/>
      <c r="H22" s="4"/>
    </row>
    <row r="23" spans="1:9" x14ac:dyDescent="0.3">
      <c r="C23" s="11">
        <f>SUM(C19:C21)</f>
        <v>0.04</v>
      </c>
      <c r="D23" t="s">
        <v>14</v>
      </c>
      <c r="E23" s="13">
        <f>12*K2</f>
        <v>11.58</v>
      </c>
      <c r="F23" t="s">
        <v>15</v>
      </c>
    </row>
    <row r="25" spans="1:9" x14ac:dyDescent="0.3">
      <c r="B25" s="33" t="s">
        <v>24</v>
      </c>
      <c r="C25" s="34"/>
      <c r="E25" t="s">
        <v>32</v>
      </c>
    </row>
    <row r="26" spans="1:9" x14ac:dyDescent="0.3">
      <c r="B26" s="18" t="s">
        <v>23</v>
      </c>
      <c r="C26" s="19" t="s">
        <v>25</v>
      </c>
      <c r="E26" t="s">
        <v>37</v>
      </c>
    </row>
    <row r="27" spans="1:9" x14ac:dyDescent="0.3">
      <c r="B27" s="18" t="s">
        <v>26</v>
      </c>
      <c r="C27" s="19" t="s">
        <v>29</v>
      </c>
      <c r="E27" s="22" t="s">
        <v>33</v>
      </c>
    </row>
    <row r="28" spans="1:9" x14ac:dyDescent="0.3">
      <c r="B28" s="18" t="s">
        <v>27</v>
      </c>
      <c r="C28" s="19" t="s">
        <v>28</v>
      </c>
    </row>
    <row r="29" spans="1:9" x14ac:dyDescent="0.3">
      <c r="B29" s="20" t="s">
        <v>30</v>
      </c>
      <c r="C29" s="21" t="s">
        <v>19</v>
      </c>
      <c r="E29" t="s">
        <v>38</v>
      </c>
    </row>
    <row r="31" spans="1:9" x14ac:dyDescent="0.3">
      <c r="B31" s="33" t="s">
        <v>34</v>
      </c>
      <c r="C31" s="34"/>
    </row>
    <row r="32" spans="1:9" x14ac:dyDescent="0.3">
      <c r="B32" s="18" t="s">
        <v>23</v>
      </c>
      <c r="C32" s="19" t="s">
        <v>35</v>
      </c>
    </row>
    <row r="33" spans="2:3" x14ac:dyDescent="0.3">
      <c r="B33" s="18" t="s">
        <v>26</v>
      </c>
      <c r="C33" s="19" t="s">
        <v>36</v>
      </c>
    </row>
    <row r="34" spans="2:3" x14ac:dyDescent="0.3">
      <c r="B34" s="18" t="s">
        <v>27</v>
      </c>
      <c r="C34" s="19" t="s">
        <v>35</v>
      </c>
    </row>
    <row r="35" spans="2:3" x14ac:dyDescent="0.3">
      <c r="B35" s="20" t="s">
        <v>30</v>
      </c>
      <c r="C35" s="21" t="s">
        <v>19</v>
      </c>
    </row>
  </sheetData>
  <mergeCells count="3">
    <mergeCell ref="B9:F13"/>
    <mergeCell ref="B25:C25"/>
    <mergeCell ref="B31:C31"/>
  </mergeCells>
  <phoneticPr fontId="1" type="noConversion"/>
  <pageMargins left="0.25" right="0.25" top="0.75" bottom="0.75" header="0.3" footer="0.3"/>
  <pageSetup paperSize="9" scale="50" fitToWidth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35"/>
  <sheetViews>
    <sheetView tabSelected="1" zoomScale="85" zoomScaleNormal="85" workbookViewId="0">
      <selection activeCell="D26" sqref="D26"/>
    </sheetView>
  </sheetViews>
  <sheetFormatPr defaultRowHeight="16.5" x14ac:dyDescent="0.3"/>
  <cols>
    <col min="2" max="2" width="19.25" customWidth="1"/>
    <col min="3" max="3" width="16.875" customWidth="1"/>
    <col min="4" max="4" width="19.75" customWidth="1"/>
    <col min="5" max="5" width="11.875" customWidth="1"/>
    <col min="6" max="6" width="15.375" customWidth="1"/>
    <col min="7" max="7" width="11.25" customWidth="1"/>
    <col min="8" max="8" width="17.125" customWidth="1"/>
    <col min="9" max="9" width="20" customWidth="1"/>
    <col min="12" max="12" width="14.25" customWidth="1"/>
    <col min="13" max="13" width="14.125" customWidth="1"/>
  </cols>
  <sheetData>
    <row r="1" spans="2:11" x14ac:dyDescent="0.3">
      <c r="I1" s="15" t="s">
        <v>9</v>
      </c>
      <c r="J1" s="16" t="s">
        <v>12</v>
      </c>
      <c r="K1" s="16" t="s">
        <v>13</v>
      </c>
    </row>
    <row r="2" spans="2:11" x14ac:dyDescent="0.3">
      <c r="I2" s="16"/>
      <c r="J2" s="16" t="s">
        <v>7</v>
      </c>
      <c r="K2" s="16">
        <v>0.96499999999999997</v>
      </c>
    </row>
    <row r="3" spans="2:11" x14ac:dyDescent="0.3">
      <c r="I3" s="16"/>
      <c r="J3" s="16" t="s">
        <v>10</v>
      </c>
      <c r="K3" s="16">
        <f>5/0.96</f>
        <v>5.2083333333333339</v>
      </c>
    </row>
    <row r="4" spans="2:11" x14ac:dyDescent="0.3">
      <c r="B4" s="17" t="s">
        <v>20</v>
      </c>
      <c r="C4" s="17"/>
      <c r="D4" s="17"/>
    </row>
    <row r="5" spans="2:11" x14ac:dyDescent="0.3">
      <c r="B5" s="17" t="s">
        <v>21</v>
      </c>
      <c r="C5" s="17"/>
      <c r="D5" s="17"/>
    </row>
    <row r="6" spans="2:11" x14ac:dyDescent="0.3">
      <c r="B6" s="17" t="s">
        <v>22</v>
      </c>
      <c r="C6" s="17"/>
      <c r="D6" s="17"/>
    </row>
    <row r="7" spans="2:11" x14ac:dyDescent="0.3">
      <c r="B7" s="17" t="s">
        <v>31</v>
      </c>
      <c r="C7" s="17"/>
      <c r="D7" s="17"/>
    </row>
    <row r="8" spans="2:11" ht="17.25" thickBot="1" x14ac:dyDescent="0.35"/>
    <row r="9" spans="2:11" ht="16.5" customHeight="1" x14ac:dyDescent="0.3">
      <c r="B9" s="24" t="s">
        <v>17</v>
      </c>
      <c r="C9" s="25"/>
      <c r="D9" s="25"/>
      <c r="E9" s="25"/>
      <c r="F9" s="26"/>
    </row>
    <row r="10" spans="2:11" x14ac:dyDescent="0.3">
      <c r="B10" s="27"/>
      <c r="C10" s="28"/>
      <c r="D10" s="28"/>
      <c r="E10" s="28"/>
      <c r="F10" s="29"/>
    </row>
    <row r="11" spans="2:11" x14ac:dyDescent="0.3">
      <c r="B11" s="27"/>
      <c r="C11" s="28"/>
      <c r="D11" s="28"/>
      <c r="E11" s="28"/>
      <c r="F11" s="29"/>
    </row>
    <row r="12" spans="2:11" x14ac:dyDescent="0.3">
      <c r="B12" s="27"/>
      <c r="C12" s="28"/>
      <c r="D12" s="28"/>
      <c r="E12" s="28"/>
      <c r="F12" s="29"/>
    </row>
    <row r="13" spans="2:11" ht="17.25" thickBot="1" x14ac:dyDescent="0.35">
      <c r="B13" s="30"/>
      <c r="C13" s="31"/>
      <c r="D13" s="31"/>
      <c r="E13" s="31"/>
      <c r="F13" s="32"/>
    </row>
    <row r="17" spans="1:9" ht="17.25" thickBot="1" x14ac:dyDescent="0.35">
      <c r="C17" s="14" t="s">
        <v>19</v>
      </c>
      <c r="F17" t="s">
        <v>11</v>
      </c>
    </row>
    <row r="18" spans="1:9" ht="17.25" thickBot="1" x14ac:dyDescent="0.35">
      <c r="A18" s="7"/>
      <c r="B18" s="8"/>
      <c r="C18" s="8" t="s">
        <v>8</v>
      </c>
      <c r="D18" s="8" t="s">
        <v>4</v>
      </c>
      <c r="E18" s="8" t="s">
        <v>5</v>
      </c>
      <c r="F18" s="8" t="s">
        <v>3</v>
      </c>
      <c r="G18" s="8" t="s">
        <v>6</v>
      </c>
      <c r="H18" s="9" t="s">
        <v>18</v>
      </c>
      <c r="I18" s="6" t="s">
        <v>16</v>
      </c>
    </row>
    <row r="19" spans="1:9" x14ac:dyDescent="0.3">
      <c r="A19" s="1" t="s">
        <v>39</v>
      </c>
      <c r="C19">
        <v>0.06</v>
      </c>
      <c r="D19">
        <v>346.98</v>
      </c>
      <c r="F19">
        <f>($E$22*C19)</f>
        <v>7.1999999999999994E-4</v>
      </c>
      <c r="G19" s="10">
        <f>F19/$F$19</f>
        <v>1</v>
      </c>
      <c r="H19" s="5">
        <f>D19*F19</f>
        <v>0.24982559999999998</v>
      </c>
      <c r="I19">
        <f>H19*1000</f>
        <v>249.82559999999998</v>
      </c>
    </row>
    <row r="20" spans="1:9" x14ac:dyDescent="0.3">
      <c r="A20" s="1" t="s">
        <v>0</v>
      </c>
      <c r="C20">
        <v>0</v>
      </c>
      <c r="D20">
        <v>300.83</v>
      </c>
      <c r="F20">
        <f t="shared" ref="F20:F21" si="0">($E$22*C20)</f>
        <v>0</v>
      </c>
      <c r="G20" s="10">
        <f>F20/$F$19</f>
        <v>0</v>
      </c>
      <c r="H20" s="5">
        <f t="shared" ref="H20:H21" si="1">D20*F20</f>
        <v>0</v>
      </c>
      <c r="I20">
        <f t="shared" ref="I20:I21" si="2">H20*1000</f>
        <v>0</v>
      </c>
    </row>
    <row r="21" spans="1:9" x14ac:dyDescent="0.3">
      <c r="A21" s="1" t="s">
        <v>1</v>
      </c>
      <c r="C21">
        <v>0</v>
      </c>
      <c r="D21">
        <v>255.74</v>
      </c>
      <c r="F21">
        <f t="shared" si="0"/>
        <v>0</v>
      </c>
      <c r="G21" s="10">
        <f>F21/$F$19</f>
        <v>0</v>
      </c>
      <c r="H21" s="5">
        <f t="shared" si="1"/>
        <v>0</v>
      </c>
      <c r="I21">
        <f t="shared" si="2"/>
        <v>0</v>
      </c>
    </row>
    <row r="22" spans="1:9" ht="17.25" thickBot="1" x14ac:dyDescent="0.35">
      <c r="A22" s="2" t="s">
        <v>7</v>
      </c>
      <c r="B22" s="3"/>
      <c r="C22" s="3"/>
      <c r="D22" s="3"/>
      <c r="E22" s="12">
        <v>1.2E-2</v>
      </c>
      <c r="F22" s="3"/>
      <c r="G22" s="3"/>
      <c r="H22" s="4"/>
    </row>
    <row r="23" spans="1:9" x14ac:dyDescent="0.3">
      <c r="C23" s="11">
        <f>SUM(C19:C21)</f>
        <v>0.06</v>
      </c>
      <c r="D23" t="s">
        <v>14</v>
      </c>
      <c r="E23" s="13">
        <f>12*K2</f>
        <v>11.58</v>
      </c>
      <c r="F23" t="s">
        <v>15</v>
      </c>
    </row>
    <row r="25" spans="1:9" x14ac:dyDescent="0.3">
      <c r="B25" s="33" t="s">
        <v>24</v>
      </c>
      <c r="C25" s="34"/>
      <c r="E25" t="s">
        <v>32</v>
      </c>
    </row>
    <row r="26" spans="1:9" x14ac:dyDescent="0.3">
      <c r="B26" s="18" t="s">
        <v>23</v>
      </c>
      <c r="C26" s="19" t="s">
        <v>25</v>
      </c>
      <c r="E26" t="s">
        <v>37</v>
      </c>
    </row>
    <row r="27" spans="1:9" x14ac:dyDescent="0.3">
      <c r="B27" s="18" t="s">
        <v>26</v>
      </c>
      <c r="C27" s="19" t="s">
        <v>29</v>
      </c>
      <c r="E27" s="22" t="s">
        <v>33</v>
      </c>
    </row>
    <row r="28" spans="1:9" x14ac:dyDescent="0.3">
      <c r="B28" s="18" t="s">
        <v>27</v>
      </c>
      <c r="C28" s="19" t="s">
        <v>28</v>
      </c>
    </row>
    <row r="29" spans="1:9" x14ac:dyDescent="0.3">
      <c r="B29" s="20" t="s">
        <v>30</v>
      </c>
      <c r="C29" s="21" t="s">
        <v>19</v>
      </c>
      <c r="E29" t="s">
        <v>38</v>
      </c>
    </row>
    <row r="31" spans="1:9" x14ac:dyDescent="0.3">
      <c r="B31" s="33" t="s">
        <v>34</v>
      </c>
      <c r="C31" s="34"/>
    </row>
    <row r="32" spans="1:9" x14ac:dyDescent="0.3">
      <c r="B32" s="18" t="s">
        <v>23</v>
      </c>
      <c r="C32" s="19" t="s">
        <v>35</v>
      </c>
    </row>
    <row r="33" spans="2:3" x14ac:dyDescent="0.3">
      <c r="B33" s="18" t="s">
        <v>26</v>
      </c>
      <c r="C33" s="19" t="s">
        <v>36</v>
      </c>
    </row>
    <row r="34" spans="2:3" x14ac:dyDescent="0.3">
      <c r="B34" s="18" t="s">
        <v>27</v>
      </c>
      <c r="C34" s="19" t="s">
        <v>35</v>
      </c>
    </row>
    <row r="35" spans="2:3" x14ac:dyDescent="0.3">
      <c r="B35" s="20" t="s">
        <v>30</v>
      </c>
      <c r="C35" s="21" t="s">
        <v>19</v>
      </c>
    </row>
  </sheetData>
  <mergeCells count="3">
    <mergeCell ref="B9:F13"/>
    <mergeCell ref="B25:C25"/>
    <mergeCell ref="B31:C31"/>
  </mergeCells>
  <phoneticPr fontId="1" type="noConversion"/>
  <pageMargins left="0.25" right="0.25" top="0.75" bottom="0.75" header="0.3" footer="0.3"/>
  <pageSetup paperSize="9" scale="50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652C1-0A17-42E6-A834-CF3FD695D4A9}">
  <sheetPr>
    <pageSetUpPr fitToPage="1"/>
  </sheetPr>
  <dimension ref="A1:K35"/>
  <sheetViews>
    <sheetView topLeftCell="A4" zoomScale="130" zoomScaleNormal="130" workbookViewId="0">
      <selection activeCell="E23" sqref="E23"/>
    </sheetView>
  </sheetViews>
  <sheetFormatPr defaultRowHeight="16.5" x14ac:dyDescent="0.3"/>
  <cols>
    <col min="2" max="2" width="19.25" customWidth="1"/>
    <col min="3" max="3" width="16.875" customWidth="1"/>
    <col min="4" max="4" width="19.75" customWidth="1"/>
    <col min="5" max="5" width="11.875" customWidth="1"/>
    <col min="6" max="6" width="15.375" customWidth="1"/>
    <col min="7" max="7" width="11.25" customWidth="1"/>
    <col min="8" max="8" width="17.125" customWidth="1"/>
    <col min="9" max="9" width="20" customWidth="1"/>
    <col min="12" max="12" width="14.25" customWidth="1"/>
    <col min="13" max="13" width="14.125" customWidth="1"/>
  </cols>
  <sheetData>
    <row r="1" spans="2:11" x14ac:dyDescent="0.3">
      <c r="I1" s="15" t="s">
        <v>9</v>
      </c>
      <c r="J1" s="16" t="s">
        <v>12</v>
      </c>
      <c r="K1" s="16" t="s">
        <v>13</v>
      </c>
    </row>
    <row r="2" spans="2:11" x14ac:dyDescent="0.3">
      <c r="I2" s="16"/>
      <c r="J2" s="16" t="s">
        <v>7</v>
      </c>
      <c r="K2" s="16">
        <v>0.96499999999999997</v>
      </c>
    </row>
    <row r="3" spans="2:11" x14ac:dyDescent="0.3">
      <c r="I3" s="16"/>
      <c r="J3" s="16" t="s">
        <v>10</v>
      </c>
      <c r="K3" s="16">
        <f>5/0.96</f>
        <v>5.2083333333333339</v>
      </c>
    </row>
    <row r="4" spans="2:11" x14ac:dyDescent="0.3">
      <c r="B4" s="17" t="s">
        <v>20</v>
      </c>
      <c r="C4" s="17"/>
      <c r="D4" s="17"/>
    </row>
    <row r="5" spans="2:11" x14ac:dyDescent="0.3">
      <c r="B5" s="17" t="s">
        <v>21</v>
      </c>
      <c r="C5" s="17"/>
      <c r="D5" s="17"/>
    </row>
    <row r="6" spans="2:11" x14ac:dyDescent="0.3">
      <c r="B6" s="17" t="s">
        <v>22</v>
      </c>
      <c r="C6" s="17"/>
      <c r="D6" s="17"/>
    </row>
    <row r="7" spans="2:11" x14ac:dyDescent="0.3">
      <c r="B7" s="17" t="s">
        <v>31</v>
      </c>
      <c r="C7" s="17"/>
      <c r="D7" s="17"/>
    </row>
    <row r="8" spans="2:11" ht="17.25" thickBot="1" x14ac:dyDescent="0.35"/>
    <row r="9" spans="2:11" ht="16.5" customHeight="1" x14ac:dyDescent="0.3">
      <c r="B9" s="24" t="s">
        <v>17</v>
      </c>
      <c r="C9" s="25"/>
      <c r="D9" s="25"/>
      <c r="E9" s="25"/>
      <c r="F9" s="26"/>
    </row>
    <row r="10" spans="2:11" x14ac:dyDescent="0.3">
      <c r="B10" s="27"/>
      <c r="C10" s="28"/>
      <c r="D10" s="28"/>
      <c r="E10" s="28"/>
      <c r="F10" s="29"/>
    </row>
    <row r="11" spans="2:11" x14ac:dyDescent="0.3">
      <c r="B11" s="27"/>
      <c r="C11" s="28"/>
      <c r="D11" s="28"/>
      <c r="E11" s="28"/>
      <c r="F11" s="29"/>
    </row>
    <row r="12" spans="2:11" x14ac:dyDescent="0.3">
      <c r="B12" s="27"/>
      <c r="C12" s="28"/>
      <c r="D12" s="28"/>
      <c r="E12" s="28"/>
      <c r="F12" s="29"/>
    </row>
    <row r="13" spans="2:11" ht="17.25" thickBot="1" x14ac:dyDescent="0.35">
      <c r="B13" s="30"/>
      <c r="C13" s="31"/>
      <c r="D13" s="31"/>
      <c r="E13" s="31"/>
      <c r="F13" s="32"/>
    </row>
    <row r="17" spans="1:9" ht="17.25" thickBot="1" x14ac:dyDescent="0.35">
      <c r="C17" s="14" t="s">
        <v>19</v>
      </c>
      <c r="F17" t="s">
        <v>11</v>
      </c>
    </row>
    <row r="18" spans="1:9" ht="17.25" thickBot="1" x14ac:dyDescent="0.35">
      <c r="A18" s="7"/>
      <c r="B18" s="8"/>
      <c r="C18" s="8" t="s">
        <v>8</v>
      </c>
      <c r="D18" s="8" t="s">
        <v>4</v>
      </c>
      <c r="E18" s="8" t="s">
        <v>5</v>
      </c>
      <c r="F18" s="8" t="s">
        <v>3</v>
      </c>
      <c r="G18" s="8" t="s">
        <v>6</v>
      </c>
      <c r="H18" s="9" t="s">
        <v>18</v>
      </c>
      <c r="I18" s="6" t="s">
        <v>16</v>
      </c>
    </row>
    <row r="19" spans="1:9" x14ac:dyDescent="0.3">
      <c r="A19" s="1" t="s">
        <v>1</v>
      </c>
      <c r="C19">
        <v>0</v>
      </c>
      <c r="D19">
        <v>255.74</v>
      </c>
      <c r="F19">
        <f>($E$22*C19)</f>
        <v>0</v>
      </c>
      <c r="G19" s="10" t="e">
        <f>F19/$F$19</f>
        <v>#DIV/0!</v>
      </c>
      <c r="H19" s="5">
        <f>D19*F19</f>
        <v>0</v>
      </c>
      <c r="I19">
        <f>H19*1000</f>
        <v>0</v>
      </c>
    </row>
    <row r="20" spans="1:9" x14ac:dyDescent="0.3">
      <c r="A20" s="1" t="s">
        <v>42</v>
      </c>
      <c r="C20">
        <v>0.04</v>
      </c>
      <c r="D20">
        <v>320.3</v>
      </c>
      <c r="F20">
        <f t="shared" ref="F20:F21" si="0">($E$22*C20)</f>
        <v>4.8000000000000001E-4</v>
      </c>
      <c r="G20" s="10" t="e">
        <f>F20/$F$19</f>
        <v>#DIV/0!</v>
      </c>
      <c r="H20" s="5">
        <f t="shared" ref="H20:H21" si="1">D20*F20</f>
        <v>0.15374400000000002</v>
      </c>
      <c r="I20">
        <f t="shared" ref="I20:I21" si="2">H20*1000</f>
        <v>153.74400000000003</v>
      </c>
    </row>
    <row r="21" spans="1:9" x14ac:dyDescent="0.3">
      <c r="A21" s="1" t="s">
        <v>40</v>
      </c>
      <c r="C21">
        <v>0</v>
      </c>
      <c r="D21">
        <v>375.13</v>
      </c>
      <c r="F21">
        <f t="shared" si="0"/>
        <v>0</v>
      </c>
      <c r="G21" s="10" t="e">
        <f>F21/$F$19</f>
        <v>#DIV/0!</v>
      </c>
      <c r="H21" s="5">
        <f t="shared" si="1"/>
        <v>0</v>
      </c>
      <c r="I21">
        <f t="shared" si="2"/>
        <v>0</v>
      </c>
    </row>
    <row r="22" spans="1:9" ht="17.25" thickBot="1" x14ac:dyDescent="0.35">
      <c r="A22" s="2" t="s">
        <v>7</v>
      </c>
      <c r="B22" s="3"/>
      <c r="C22" s="3"/>
      <c r="D22" s="3"/>
      <c r="E22" s="12">
        <v>1.2E-2</v>
      </c>
      <c r="F22" s="3"/>
      <c r="G22" s="3"/>
      <c r="H22" s="4"/>
    </row>
    <row r="23" spans="1:9" x14ac:dyDescent="0.3">
      <c r="C23" s="11">
        <f>SUM(C19:C21)</f>
        <v>0.04</v>
      </c>
      <c r="D23" t="s">
        <v>14</v>
      </c>
      <c r="E23" s="13">
        <f>12*K2</f>
        <v>11.58</v>
      </c>
      <c r="F23" t="s">
        <v>15</v>
      </c>
    </row>
    <row r="25" spans="1:9" x14ac:dyDescent="0.3">
      <c r="B25" s="33" t="s">
        <v>24</v>
      </c>
      <c r="C25" s="34"/>
      <c r="E25" t="s">
        <v>32</v>
      </c>
    </row>
    <row r="26" spans="1:9" x14ac:dyDescent="0.3">
      <c r="B26" s="18" t="s">
        <v>23</v>
      </c>
      <c r="C26" s="19" t="s">
        <v>25</v>
      </c>
      <c r="E26" t="s">
        <v>37</v>
      </c>
    </row>
    <row r="27" spans="1:9" x14ac:dyDescent="0.3">
      <c r="B27" s="18" t="s">
        <v>26</v>
      </c>
      <c r="C27" s="19" t="s">
        <v>29</v>
      </c>
      <c r="E27" s="23" t="s">
        <v>41</v>
      </c>
    </row>
    <row r="28" spans="1:9" x14ac:dyDescent="0.3">
      <c r="B28" s="18" t="s">
        <v>27</v>
      </c>
      <c r="C28" s="19" t="s">
        <v>28</v>
      </c>
    </row>
    <row r="29" spans="1:9" x14ac:dyDescent="0.3">
      <c r="B29" s="20" t="s">
        <v>30</v>
      </c>
      <c r="C29" s="21" t="s">
        <v>19</v>
      </c>
      <c r="E29" t="s">
        <v>38</v>
      </c>
    </row>
    <row r="31" spans="1:9" x14ac:dyDescent="0.3">
      <c r="B31" s="33" t="s">
        <v>34</v>
      </c>
      <c r="C31" s="34"/>
    </row>
    <row r="32" spans="1:9" x14ac:dyDescent="0.3">
      <c r="B32" s="18" t="s">
        <v>23</v>
      </c>
      <c r="C32" s="19" t="s">
        <v>35</v>
      </c>
    </row>
    <row r="33" spans="2:3" x14ac:dyDescent="0.3">
      <c r="B33" s="18" t="s">
        <v>26</v>
      </c>
      <c r="C33" s="19" t="s">
        <v>36</v>
      </c>
    </row>
    <row r="34" spans="2:3" x14ac:dyDescent="0.3">
      <c r="B34" s="18" t="s">
        <v>27</v>
      </c>
      <c r="C34" s="19" t="s">
        <v>35</v>
      </c>
    </row>
    <row r="35" spans="2:3" x14ac:dyDescent="0.3">
      <c r="B35" s="20" t="s">
        <v>30</v>
      </c>
      <c r="C35" s="21" t="s">
        <v>19</v>
      </c>
    </row>
  </sheetData>
  <mergeCells count="3">
    <mergeCell ref="B9:F13"/>
    <mergeCell ref="B25:C25"/>
    <mergeCell ref="B31:C31"/>
  </mergeCells>
  <phoneticPr fontId="1" type="noConversion"/>
  <hyperlinks>
    <hyperlink ref="E27" r:id="rId1" xr:uid="{1C5D269B-DD33-4B9B-B01E-6B1755F19879}"/>
  </hyperlinks>
  <pageMargins left="0.25" right="0.25" top="0.75" bottom="0.75" header="0.3" footer="0.3"/>
  <pageSetup paperSize="9" scale="50" fitToWidth="0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87D6F-6672-4EC6-9842-5E5B2DEE1C2E}">
  <sheetPr>
    <pageSetUpPr fitToPage="1"/>
  </sheetPr>
  <dimension ref="A1:K35"/>
  <sheetViews>
    <sheetView topLeftCell="A7" zoomScale="130" zoomScaleNormal="130" workbookViewId="0">
      <selection activeCell="C21" sqref="C21"/>
    </sheetView>
  </sheetViews>
  <sheetFormatPr defaultRowHeight="16.5" x14ac:dyDescent="0.3"/>
  <cols>
    <col min="2" max="2" width="19.25" customWidth="1"/>
    <col min="3" max="3" width="16.875" customWidth="1"/>
    <col min="4" max="4" width="19.75" customWidth="1"/>
    <col min="5" max="5" width="11.875" customWidth="1"/>
    <col min="6" max="6" width="15.375" customWidth="1"/>
    <col min="7" max="7" width="11.25" customWidth="1"/>
    <col min="8" max="8" width="17.125" customWidth="1"/>
    <col min="9" max="9" width="20" customWidth="1"/>
    <col min="12" max="12" width="14.25" customWidth="1"/>
    <col min="13" max="13" width="14.125" customWidth="1"/>
  </cols>
  <sheetData>
    <row r="1" spans="2:11" x14ac:dyDescent="0.3">
      <c r="I1" s="15" t="s">
        <v>9</v>
      </c>
      <c r="J1" s="16" t="s">
        <v>12</v>
      </c>
      <c r="K1" s="16" t="s">
        <v>13</v>
      </c>
    </row>
    <row r="2" spans="2:11" x14ac:dyDescent="0.3">
      <c r="I2" s="16"/>
      <c r="J2" s="16" t="s">
        <v>7</v>
      </c>
      <c r="K2" s="16">
        <v>0.96499999999999997</v>
      </c>
    </row>
    <row r="3" spans="2:11" x14ac:dyDescent="0.3">
      <c r="I3" s="16"/>
      <c r="J3" s="16" t="s">
        <v>10</v>
      </c>
      <c r="K3" s="16">
        <f>5/0.96</f>
        <v>5.2083333333333339</v>
      </c>
    </row>
    <row r="4" spans="2:11" x14ac:dyDescent="0.3">
      <c r="B4" s="17" t="s">
        <v>20</v>
      </c>
      <c r="C4" s="17"/>
      <c r="D4" s="17"/>
    </row>
    <row r="5" spans="2:11" x14ac:dyDescent="0.3">
      <c r="B5" s="17" t="s">
        <v>21</v>
      </c>
      <c r="C5" s="17"/>
      <c r="D5" s="17"/>
    </row>
    <row r="6" spans="2:11" x14ac:dyDescent="0.3">
      <c r="B6" s="17" t="s">
        <v>22</v>
      </c>
      <c r="C6" s="17"/>
      <c r="D6" s="17"/>
    </row>
    <row r="7" spans="2:11" x14ac:dyDescent="0.3">
      <c r="B7" s="17" t="s">
        <v>31</v>
      </c>
      <c r="C7" s="17"/>
      <c r="D7" s="17"/>
    </row>
    <row r="8" spans="2:11" ht="17.25" thickBot="1" x14ac:dyDescent="0.35"/>
    <row r="9" spans="2:11" ht="16.5" customHeight="1" x14ac:dyDescent="0.3">
      <c r="B9" s="24" t="s">
        <v>17</v>
      </c>
      <c r="C9" s="25"/>
      <c r="D9" s="25"/>
      <c r="E9" s="25"/>
      <c r="F9" s="26"/>
    </row>
    <row r="10" spans="2:11" x14ac:dyDescent="0.3">
      <c r="B10" s="27"/>
      <c r="C10" s="28"/>
      <c r="D10" s="28"/>
      <c r="E10" s="28"/>
      <c r="F10" s="29"/>
    </row>
    <row r="11" spans="2:11" x14ac:dyDescent="0.3">
      <c r="B11" s="27"/>
      <c r="C11" s="28"/>
      <c r="D11" s="28"/>
      <c r="E11" s="28"/>
      <c r="F11" s="29"/>
    </row>
    <row r="12" spans="2:11" x14ac:dyDescent="0.3">
      <c r="B12" s="27"/>
      <c r="C12" s="28"/>
      <c r="D12" s="28"/>
      <c r="E12" s="28"/>
      <c r="F12" s="29"/>
    </row>
    <row r="13" spans="2:11" ht="17.25" thickBot="1" x14ac:dyDescent="0.35">
      <c r="B13" s="30"/>
      <c r="C13" s="31"/>
      <c r="D13" s="31"/>
      <c r="E13" s="31"/>
      <c r="F13" s="32"/>
    </row>
    <row r="17" spans="1:9" ht="17.25" thickBot="1" x14ac:dyDescent="0.35">
      <c r="C17" s="14" t="s">
        <v>19</v>
      </c>
      <c r="F17" t="s">
        <v>11</v>
      </c>
    </row>
    <row r="18" spans="1:9" ht="17.25" thickBot="1" x14ac:dyDescent="0.35">
      <c r="A18" s="7"/>
      <c r="B18" s="8"/>
      <c r="C18" s="8" t="s">
        <v>8</v>
      </c>
      <c r="D18" s="8" t="s">
        <v>4</v>
      </c>
      <c r="E18" s="8" t="s">
        <v>5</v>
      </c>
      <c r="F18" s="8" t="s">
        <v>3</v>
      </c>
      <c r="G18" s="8" t="s">
        <v>6</v>
      </c>
      <c r="H18" s="9" t="s">
        <v>18</v>
      </c>
      <c r="I18" s="6" t="s">
        <v>16</v>
      </c>
    </row>
    <row r="19" spans="1:9" x14ac:dyDescent="0.3">
      <c r="A19" s="1" t="s">
        <v>43</v>
      </c>
      <c r="C19">
        <v>0.04</v>
      </c>
      <c r="D19">
        <v>433.01</v>
      </c>
      <c r="F19">
        <f>($E$22*C19)</f>
        <v>4.8000000000000001E-4</v>
      </c>
      <c r="G19" s="10">
        <v>1</v>
      </c>
      <c r="H19" s="5">
        <f>D19*F19</f>
        <v>0.2078448</v>
      </c>
      <c r="I19">
        <f>H19*1000</f>
        <v>207.84479999999999</v>
      </c>
    </row>
    <row r="20" spans="1:9" x14ac:dyDescent="0.3">
      <c r="A20" s="1" t="s">
        <v>42</v>
      </c>
      <c r="C20">
        <v>0.04</v>
      </c>
      <c r="D20">
        <v>320.3</v>
      </c>
      <c r="F20">
        <f t="shared" ref="F20:F21" si="0">($E$22*C20)</f>
        <v>4.8000000000000001E-4</v>
      </c>
      <c r="G20" s="10">
        <f>F20/$F$19</f>
        <v>1</v>
      </c>
      <c r="H20" s="5">
        <f t="shared" ref="H20:H21" si="1">D20*F20</f>
        <v>0.15374400000000002</v>
      </c>
      <c r="I20">
        <f t="shared" ref="I20:I21" si="2">H20*1000</f>
        <v>153.74400000000003</v>
      </c>
    </row>
    <row r="21" spans="1:9" x14ac:dyDescent="0.3">
      <c r="A21" s="1" t="s">
        <v>40</v>
      </c>
      <c r="C21">
        <v>0</v>
      </c>
      <c r="D21">
        <v>375.13</v>
      </c>
      <c r="F21">
        <f t="shared" si="0"/>
        <v>0</v>
      </c>
      <c r="G21" s="10">
        <f>F21/$F$19</f>
        <v>0</v>
      </c>
      <c r="H21" s="5">
        <f t="shared" si="1"/>
        <v>0</v>
      </c>
      <c r="I21">
        <f t="shared" si="2"/>
        <v>0</v>
      </c>
    </row>
    <row r="22" spans="1:9" ht="17.25" thickBot="1" x14ac:dyDescent="0.35">
      <c r="A22" s="2" t="s">
        <v>7</v>
      </c>
      <c r="B22" s="3"/>
      <c r="C22" s="3"/>
      <c r="D22" s="3"/>
      <c r="E22" s="12">
        <v>1.2E-2</v>
      </c>
      <c r="F22" s="3"/>
      <c r="G22" s="3"/>
      <c r="H22" s="4"/>
    </row>
    <row r="23" spans="1:9" x14ac:dyDescent="0.3">
      <c r="C23" s="11">
        <f>SUM(C19:C21)</f>
        <v>0.08</v>
      </c>
      <c r="D23" t="s">
        <v>14</v>
      </c>
      <c r="E23" s="13">
        <f>12*K2</f>
        <v>11.58</v>
      </c>
      <c r="F23" t="s">
        <v>15</v>
      </c>
    </row>
    <row r="25" spans="1:9" x14ac:dyDescent="0.3">
      <c r="B25" s="33" t="s">
        <v>24</v>
      </c>
      <c r="C25" s="34"/>
      <c r="E25" t="s">
        <v>32</v>
      </c>
    </row>
    <row r="26" spans="1:9" x14ac:dyDescent="0.3">
      <c r="B26" s="18" t="s">
        <v>23</v>
      </c>
      <c r="C26" s="19" t="s">
        <v>25</v>
      </c>
      <c r="E26" t="s">
        <v>37</v>
      </c>
    </row>
    <row r="27" spans="1:9" x14ac:dyDescent="0.3">
      <c r="B27" s="18" t="s">
        <v>26</v>
      </c>
      <c r="C27" s="19" t="s">
        <v>29</v>
      </c>
      <c r="E27" s="23" t="s">
        <v>41</v>
      </c>
    </row>
    <row r="28" spans="1:9" x14ac:dyDescent="0.3">
      <c r="B28" s="18" t="s">
        <v>27</v>
      </c>
      <c r="C28" s="19" t="s">
        <v>28</v>
      </c>
    </row>
    <row r="29" spans="1:9" x14ac:dyDescent="0.3">
      <c r="B29" s="20" t="s">
        <v>30</v>
      </c>
      <c r="C29" s="21" t="s">
        <v>19</v>
      </c>
      <c r="E29" t="s">
        <v>38</v>
      </c>
    </row>
    <row r="31" spans="1:9" x14ac:dyDescent="0.3">
      <c r="B31" s="33" t="s">
        <v>34</v>
      </c>
      <c r="C31" s="34"/>
    </row>
    <row r="32" spans="1:9" x14ac:dyDescent="0.3">
      <c r="B32" s="18" t="s">
        <v>23</v>
      </c>
      <c r="C32" s="19" t="s">
        <v>35</v>
      </c>
    </row>
    <row r="33" spans="2:3" x14ac:dyDescent="0.3">
      <c r="B33" s="18" t="s">
        <v>26</v>
      </c>
      <c r="C33" s="19" t="s">
        <v>36</v>
      </c>
    </row>
    <row r="34" spans="2:3" x14ac:dyDescent="0.3">
      <c r="B34" s="18" t="s">
        <v>27</v>
      </c>
      <c r="C34" s="19" t="s">
        <v>35</v>
      </c>
    </row>
    <row r="35" spans="2:3" x14ac:dyDescent="0.3">
      <c r="B35" s="20" t="s">
        <v>30</v>
      </c>
      <c r="C35" s="21" t="s">
        <v>19</v>
      </c>
    </row>
  </sheetData>
  <mergeCells count="3">
    <mergeCell ref="B9:F13"/>
    <mergeCell ref="B25:C25"/>
    <mergeCell ref="B31:C31"/>
  </mergeCells>
  <phoneticPr fontId="1" type="noConversion"/>
  <hyperlinks>
    <hyperlink ref="E27" r:id="rId1" xr:uid="{EAB895A7-5CA1-4549-BD85-ECCA32405B30}"/>
  </hyperlinks>
  <pageMargins left="0.25" right="0.25" top="0.75" bottom="0.75" header="0.3" footer="0.3"/>
  <pageSetup paperSize="9" scale="50" fitToWidth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Zn, In, Ga</vt:lpstr>
      <vt:lpstr>Y, In, Ga</vt:lpstr>
      <vt:lpstr>Ga, Hf, Al</vt:lpstr>
      <vt:lpstr>La, Hf, 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MENLAB</dc:creator>
  <cp:lastModifiedBy>박진홍</cp:lastModifiedBy>
  <cp:lastPrinted>2019-02-25T06:42:34Z</cp:lastPrinted>
  <dcterms:created xsi:type="dcterms:W3CDTF">2018-07-06T02:03:03Z</dcterms:created>
  <dcterms:modified xsi:type="dcterms:W3CDTF">2026-07-24T14:47:54Z</dcterms:modified>
</cp:coreProperties>
</file>